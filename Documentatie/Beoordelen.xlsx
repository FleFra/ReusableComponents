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eur\Documents\"/>
    </mc:Choice>
  </mc:AlternateContent>
  <xr:revisionPtr revIDLastSave="0" documentId="8_{22307E54-CF31-46EE-A6A4-A572670296D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lanning" sheetId="5" r:id="rId1"/>
    <sheet name="Rubrics" sheetId="6" r:id="rId2"/>
  </sheets>
  <definedNames>
    <definedName name="_xlnm.Print_Area" localSheetId="0">Planning!$A$1:$L$22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G6" i="6"/>
  <c r="G8" i="6"/>
  <c r="G10" i="6"/>
  <c r="G12" i="6"/>
  <c r="G14" i="6"/>
  <c r="G16" i="6"/>
  <c r="G18" i="6"/>
  <c r="G20" i="6"/>
  <c r="G22" i="6"/>
  <c r="G24" i="6"/>
  <c r="G26" i="6" s="1"/>
  <c r="B19" i="5" l="1"/>
</calcChain>
</file>

<file path=xl/sharedStrings.xml><?xml version="1.0" encoding="utf-8"?>
<sst xmlns="http://schemas.openxmlformats.org/spreadsheetml/2006/main" count="109" uniqueCount="84">
  <si>
    <t>Periode planning Reusable components</t>
  </si>
  <si>
    <t xml:space="preserve">   week nr</t>
  </si>
  <si>
    <t>Lesweek</t>
  </si>
  <si>
    <t>Dat</t>
  </si>
  <si>
    <t>Maandag</t>
  </si>
  <si>
    <t>Dinsdag</t>
  </si>
  <si>
    <t>Woensdag</t>
  </si>
  <si>
    <t>Donderdag</t>
  </si>
  <si>
    <t>Vrijdag</t>
  </si>
  <si>
    <t>Toetsweek</t>
  </si>
  <si>
    <t>Meivakantie</t>
  </si>
  <si>
    <t>Hemelvaartsdag</t>
  </si>
  <si>
    <t>Dag na Hemelvaart</t>
  </si>
  <si>
    <t>Tweede Pinksterdag</t>
  </si>
  <si>
    <t>Zomervakantie</t>
  </si>
  <si>
    <r>
      <rPr>
        <b/>
        <sz val="6"/>
        <color rgb="FF000000"/>
        <rFont val="Arial"/>
        <family val="2"/>
      </rPr>
      <t xml:space="preserve">Les01
</t>
    </r>
    <r>
      <rPr>
        <sz val="6"/>
        <color rgb="FF000000"/>
        <rFont val="Arial"/>
        <family val="2"/>
      </rPr>
      <t>Kickoff</t>
    </r>
  </si>
  <si>
    <r>
      <rPr>
        <b/>
        <sz val="6"/>
        <color rgb="FF000000"/>
        <rFont val="Arial"/>
        <family val="2"/>
      </rPr>
      <t xml:space="preserve">Les02
</t>
    </r>
    <r>
      <rPr>
        <sz val="6"/>
        <color rgb="FF000000"/>
        <rFont val="Arial"/>
        <family val="2"/>
      </rPr>
      <t>Theorie 1</t>
    </r>
  </si>
  <si>
    <r>
      <rPr>
        <b/>
        <sz val="6"/>
        <rFont val="Arial"/>
        <family val="2"/>
      </rPr>
      <t>Les06</t>
    </r>
    <r>
      <rPr>
        <sz val="6"/>
        <rFont val="Arial"/>
        <family val="2"/>
      </rPr>
      <t xml:space="preserve">
Theorie 3</t>
    </r>
  </si>
  <si>
    <r>
      <rPr>
        <b/>
        <sz val="6"/>
        <rFont val="Arial"/>
        <family val="2"/>
      </rPr>
      <t>Les13</t>
    </r>
    <r>
      <rPr>
        <sz val="6"/>
        <rFont val="Arial"/>
        <family val="2"/>
      </rPr>
      <t xml:space="preserve">
showcase 3</t>
    </r>
  </si>
  <si>
    <r>
      <rPr>
        <b/>
        <sz val="6"/>
        <rFont val="Arial"/>
        <family val="2"/>
      </rPr>
      <t>Les14</t>
    </r>
    <r>
      <rPr>
        <sz val="6"/>
        <rFont val="Arial"/>
        <family val="2"/>
      </rPr>
      <t xml:space="preserve">
Feedback verwerken</t>
    </r>
  </si>
  <si>
    <r>
      <rPr>
        <b/>
        <sz val="6"/>
        <rFont val="Arial"/>
        <family val="2"/>
      </rPr>
      <t>Les02</t>
    </r>
    <r>
      <rPr>
        <sz val="6"/>
        <rFont val="Arial"/>
        <family val="2"/>
      </rPr>
      <t xml:space="preserve">
Workshop maken</t>
    </r>
  </si>
  <si>
    <r>
      <rPr>
        <b/>
        <sz val="6"/>
        <rFont val="Arial"/>
        <family val="2"/>
      </rPr>
      <t>Les04</t>
    </r>
    <r>
      <rPr>
        <sz val="6"/>
        <rFont val="Arial"/>
        <family val="2"/>
      </rPr>
      <t xml:space="preserve">
Workshop maken</t>
    </r>
  </si>
  <si>
    <r>
      <rPr>
        <b/>
        <sz val="6"/>
        <rFont val="Arial"/>
        <family val="2"/>
      </rPr>
      <t>Les05</t>
    </r>
    <r>
      <rPr>
        <sz val="6"/>
        <rFont val="Arial"/>
        <family val="2"/>
      </rPr>
      <t xml:space="preserve">
Workshops en feedback</t>
    </r>
  </si>
  <si>
    <r>
      <t xml:space="preserve">Les08
</t>
    </r>
    <r>
      <rPr>
        <sz val="6"/>
        <rFont val="Arial"/>
        <family val="2"/>
      </rPr>
      <t>Werken aan game</t>
    </r>
  </si>
  <si>
    <r>
      <rPr>
        <b/>
        <sz val="6"/>
        <color rgb="FF000000"/>
        <rFont val="Arial"/>
        <family val="2"/>
      </rPr>
      <t xml:space="preserve">Les01
</t>
    </r>
    <r>
      <rPr>
        <sz val="6"/>
        <color rgb="FF000000"/>
        <rFont val="Arial"/>
        <family val="2"/>
      </rPr>
      <t>Workshop workshop maken</t>
    </r>
  </si>
  <si>
    <r>
      <rPr>
        <b/>
        <sz val="6"/>
        <rFont val="Arial"/>
        <family val="2"/>
      </rPr>
      <t>Les04</t>
    </r>
    <r>
      <rPr>
        <sz val="6"/>
        <rFont val="Arial"/>
        <family val="2"/>
      </rPr>
      <t xml:space="preserve">
Recap + Theorie 2</t>
    </r>
  </si>
  <si>
    <r>
      <rPr>
        <b/>
        <sz val="6"/>
        <rFont val="Arial"/>
        <family val="2"/>
      </rPr>
      <t>Les05</t>
    </r>
    <r>
      <rPr>
        <sz val="6"/>
        <rFont val="Arial"/>
        <family val="2"/>
      </rPr>
      <t xml:space="preserve">
Werken aan game</t>
    </r>
  </si>
  <si>
    <r>
      <t xml:space="preserve">Les07
</t>
    </r>
    <r>
      <rPr>
        <sz val="6"/>
        <rFont val="Arial"/>
        <family val="2"/>
      </rPr>
      <t>Showcase 1</t>
    </r>
  </si>
  <si>
    <r>
      <rPr>
        <b/>
        <sz val="6"/>
        <rFont val="Arial"/>
        <family val="2"/>
      </rPr>
      <t>Les10</t>
    </r>
    <r>
      <rPr>
        <sz val="6"/>
        <rFont val="Arial"/>
        <family val="2"/>
      </rPr>
      <t xml:space="preserve">
Showcase 2</t>
    </r>
  </si>
  <si>
    <r>
      <rPr>
        <b/>
        <sz val="6"/>
        <rFont val="Arial"/>
        <family val="2"/>
      </rPr>
      <t>Les09</t>
    </r>
    <r>
      <rPr>
        <sz val="6"/>
        <rFont val="Arial"/>
        <family val="2"/>
      </rPr>
      <t xml:space="preserve">
Theorie 4</t>
    </r>
  </si>
  <si>
    <r>
      <t xml:space="preserve">Les11
</t>
    </r>
    <r>
      <rPr>
        <sz val="6"/>
        <rFont val="Arial"/>
        <family val="2"/>
      </rPr>
      <t>Feedback verwerken</t>
    </r>
  </si>
  <si>
    <r>
      <rPr>
        <b/>
        <sz val="6"/>
        <rFont val="Arial"/>
        <family val="2"/>
      </rPr>
      <t>Les03</t>
    </r>
    <r>
      <rPr>
        <sz val="6"/>
        <rFont val="Arial"/>
        <family val="2"/>
      </rPr>
      <t xml:space="preserve">
Werken aan game + documentatie + 1 vraag p.p.</t>
    </r>
  </si>
  <si>
    <r>
      <t xml:space="preserve">Les12
</t>
    </r>
    <r>
      <rPr>
        <sz val="6"/>
        <rFont val="Arial"/>
        <family val="2"/>
      </rPr>
      <t>Werken aan game</t>
    </r>
  </si>
  <si>
    <t>Student:</t>
  </si>
  <si>
    <t>Dummison, Dummy</t>
  </si>
  <si>
    <t>Beoordeeld door:</t>
  </si>
  <si>
    <t>Kenneth van Beek</t>
  </si>
  <si>
    <t>Criteria</t>
  </si>
  <si>
    <t>Ontbreekt</t>
  </si>
  <si>
    <t>Incompleet</t>
  </si>
  <si>
    <t>Voldoende</t>
  </si>
  <si>
    <t>Goed</t>
  </si>
  <si>
    <t>Score</t>
  </si>
  <si>
    <t>Feedback:</t>
  </si>
  <si>
    <t>Player behaviour</t>
  </si>
  <si>
    <r>
      <t>Player behaviour kan NIET</t>
    </r>
    <r>
      <rPr>
        <sz val="9"/>
        <color rgb="FF000000"/>
        <rFont val="Calibri"/>
        <family val="2"/>
      </rPr>
      <t xml:space="preserve"> toegevoegd/omgeruild worden zoals beschreven in de criteria</t>
    </r>
  </si>
  <si>
    <r>
      <t xml:space="preserve">Player behaviour kan </t>
    </r>
    <r>
      <rPr>
        <b/>
        <sz val="9"/>
        <color rgb="FF000000"/>
        <rFont val="Calibri"/>
        <family val="2"/>
      </rPr>
      <t xml:space="preserve">WEL </t>
    </r>
    <r>
      <rPr>
        <sz val="9"/>
        <color rgb="FF000000"/>
        <rFont val="Calibri"/>
        <family val="2"/>
      </rPr>
      <t>toegevoegd/omgeruild worden zoals beschreven in de criteria</t>
    </r>
  </si>
  <si>
    <r>
      <t>Voldoende</t>
    </r>
    <r>
      <rPr>
        <sz val="9"/>
        <color rgb="FF000000"/>
        <rFont val="Calibri"/>
        <family val="2"/>
      </rPr>
      <t xml:space="preserve"> + intensief gebruikt en of voegt veel waarde toe aan de game.</t>
    </r>
  </si>
  <si>
    <t>Hergebruik components</t>
  </si>
  <si>
    <r>
      <t xml:space="preserve">Components zijn </t>
    </r>
    <r>
      <rPr>
        <b/>
        <sz val="9"/>
        <color rgb="FF000000"/>
        <rFont val="Calibri"/>
        <family val="2"/>
      </rPr>
      <t>MINDER</t>
    </r>
    <r>
      <rPr>
        <sz val="9"/>
        <color rgb="FF000000"/>
        <rFont val="Calibri"/>
        <family val="2"/>
      </rPr>
      <t xml:space="preserve"> dan 20 x hergebruikt</t>
    </r>
  </si>
  <si>
    <r>
      <t xml:space="preserve">Components zijn </t>
    </r>
    <r>
      <rPr>
        <b/>
        <sz val="9"/>
        <color rgb="FF000000"/>
        <rFont val="Calibri"/>
        <family val="2"/>
      </rPr>
      <t xml:space="preserve">MEER </t>
    </r>
    <r>
      <rPr>
        <sz val="9"/>
        <color rgb="FF000000"/>
        <rFont val="Calibri"/>
        <family val="2"/>
      </rPr>
      <t>dan 20 x hergebruikt</t>
    </r>
  </si>
  <si>
    <t>Components zijn MEER dan 30 x hergebruikt</t>
  </si>
  <si>
    <t>Component variaties</t>
  </si>
  <si>
    <r>
      <t xml:space="preserve">MINDER </t>
    </r>
    <r>
      <rPr>
        <sz val="9"/>
        <color rgb="FF000000"/>
        <rFont val="Calibri"/>
        <family val="2"/>
      </rPr>
      <t>dan 2 interfaces</t>
    </r>
    <r>
      <rPr>
        <b/>
        <sz val="9"/>
        <color rgb="FF000000"/>
        <rFont val="Calibri"/>
        <family val="2"/>
      </rPr>
      <t xml:space="preserve">
MINDER</t>
    </r>
    <r>
      <rPr>
        <sz val="9"/>
        <color rgb="FF000000"/>
        <rFont val="Calibri"/>
        <family val="2"/>
      </rPr>
      <t xml:space="preserve"> dan twee variatie components per interface</t>
    </r>
  </si>
  <si>
    <r>
      <t xml:space="preserve">MINSTENS </t>
    </r>
    <r>
      <rPr>
        <sz val="9"/>
        <color rgb="FF000000"/>
        <rFont val="Calibri"/>
        <family val="2"/>
      </rPr>
      <t>2 interfaces</t>
    </r>
    <r>
      <rPr>
        <b/>
        <sz val="9"/>
        <color rgb="FF000000"/>
        <rFont val="Calibri"/>
        <family val="2"/>
      </rPr>
      <t xml:space="preserve">
MINSTENS</t>
    </r>
    <r>
      <rPr>
        <sz val="9"/>
        <color rgb="FF000000"/>
        <rFont val="Calibri"/>
        <family val="2"/>
      </rPr>
      <t xml:space="preserve"> twee variatie components per interface</t>
    </r>
  </si>
  <si>
    <r>
      <t xml:space="preserve">MINSTENS </t>
    </r>
    <r>
      <rPr>
        <sz val="9"/>
        <color rgb="FF000000"/>
        <rFont val="Calibri"/>
        <family val="2"/>
      </rPr>
      <t>3 interfaces</t>
    </r>
    <r>
      <rPr>
        <b/>
        <sz val="9"/>
        <color rgb="FF000000"/>
        <rFont val="Calibri"/>
        <family val="2"/>
      </rPr>
      <t xml:space="preserve">
MINSTENS</t>
    </r>
    <r>
      <rPr>
        <sz val="9"/>
        <color rgb="FF000000"/>
        <rFont val="Calibri"/>
        <family val="2"/>
      </rPr>
      <t xml:space="preserve"> twee variatie components per interface</t>
    </r>
  </si>
  <si>
    <t>Events</t>
  </si>
  <si>
    <t>De game bevat geen events</t>
  </si>
  <si>
    <t>De game bevat events.</t>
  </si>
  <si>
    <t xml:space="preserve">De game bevat components die door middel van events meer Reusable zijn geworden. </t>
  </si>
  <si>
    <t>Clean Code</t>
  </si>
  <si>
    <t>Niet alle Clean Code criteria zijn verwerkt</t>
  </si>
  <si>
    <t>Alle Clean Code criteria zijn verwerkt</t>
  </si>
  <si>
    <r>
      <t>Voldoende</t>
    </r>
    <r>
      <rPr>
        <sz val="9"/>
        <color rgb="FF000000"/>
        <rFont val="Calibri"/>
        <family val="2"/>
      </rPr>
      <t xml:space="preserve"> + </t>
    </r>
    <r>
      <rPr>
        <b/>
        <sz val="9"/>
        <color rgb="FF7030A0"/>
        <rFont val="Calibri"/>
        <family val="2"/>
      </rPr>
      <t>(Extra criteria)</t>
    </r>
    <r>
      <rPr>
        <sz val="9"/>
        <color rgb="FF000000"/>
        <rFont val="Calibri"/>
        <family val="2"/>
      </rPr>
      <t xml:space="preserve"> zijn verwerkt</t>
    </r>
  </si>
  <si>
    <t>User Story A1</t>
  </si>
  <si>
    <r>
      <t xml:space="preserve">User Story voldoet </t>
    </r>
    <r>
      <rPr>
        <b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aan alle Acceptatie criteria</t>
    </r>
  </si>
  <si>
    <t>User Story voldoet aan alle Acceptatiecriteria</t>
  </si>
  <si>
    <r>
      <t>Voldoende</t>
    </r>
    <r>
      <rPr>
        <sz val="9"/>
        <color rgb="FF000000"/>
        <rFont val="Calibri"/>
        <family val="2"/>
      </rPr>
      <t xml:space="preserve"> + voldoet aan alle </t>
    </r>
    <r>
      <rPr>
        <b/>
        <sz val="9"/>
        <color rgb="FF7030A0"/>
        <rFont val="Calibri"/>
        <family val="2"/>
      </rPr>
      <t>(Extra criteria)</t>
    </r>
  </si>
  <si>
    <t>User Story A2</t>
  </si>
  <si>
    <r>
      <t>Voldoende</t>
    </r>
    <r>
      <rPr>
        <sz val="9"/>
        <color rgb="FF000000"/>
        <rFont val="Calibri"/>
        <family val="2"/>
      </rPr>
      <t xml:space="preserve"> + voldoet aan alle </t>
    </r>
    <r>
      <rPr>
        <b/>
        <sz val="9"/>
        <color rgb="FF7030A0"/>
        <rFont val="Calibri"/>
        <family val="2"/>
      </rPr>
      <t>(Extra criteria)</t>
    </r>
    <r>
      <rPr>
        <sz val="9"/>
        <color rgb="FF000000"/>
        <rFont val="Calibri"/>
        <family val="2"/>
      </rPr>
      <t xml:space="preserve"> </t>
    </r>
  </si>
  <si>
    <t>User Story A3</t>
  </si>
  <si>
    <t>Portfolio Item</t>
  </si>
  <si>
    <r>
      <t xml:space="preserve">Portfolio eisen voldoen </t>
    </r>
    <r>
      <rPr>
        <b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aan alle eisen onder het kopje “Voldoende”</t>
    </r>
  </si>
  <si>
    <t>Portfolio eisen voldoen aan alle eisen onder het kopje “Voldoende”</t>
  </si>
  <si>
    <t>Portfolio eisen voldoen aan alle eisen onder het kopje “Voldoende” en “Goed”</t>
  </si>
  <si>
    <t>Reflectie Verslag</t>
  </si>
  <si>
    <r>
      <t>Niet</t>
    </r>
    <r>
      <rPr>
        <sz val="9"/>
        <color rgb="FF000000"/>
        <rFont val="Calibri"/>
        <family val="2"/>
      </rPr>
      <t xml:space="preserve"> op 5 punten gereflecteerd  + procesreflectie</t>
    </r>
  </si>
  <si>
    <t>Op 5 punten gereflecteerd  + procesreflectie</t>
  </si>
  <si>
    <t>Diepgaand op 5 punten gereflecteerd  + procesreflectie + verbetervoorstel</t>
  </si>
  <si>
    <t>Beoordeling ingevuld</t>
  </si>
  <si>
    <r>
      <t>Beoordeling is</t>
    </r>
    <r>
      <rPr>
        <b/>
        <sz val="9"/>
        <color rgb="FF000000"/>
        <rFont val="Calibri"/>
        <family val="2"/>
      </rPr>
      <t xml:space="preserve"> niet compleet</t>
    </r>
    <r>
      <rPr>
        <sz val="9"/>
        <color rgb="FF000000"/>
        <rFont val="Calibri"/>
        <family val="2"/>
      </rPr>
      <t xml:space="preserve"> ingevuld</t>
    </r>
  </si>
  <si>
    <t>Beoordeling is compleet ingevuld, maar feedback ontbreekt</t>
  </si>
  <si>
    <t>Beoordeling is compleet ingevuld en voorzien van feedback</t>
  </si>
  <si>
    <t>Eindbeoordeling: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</si>
</sst>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2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10"/>
      <name val="Open Sans"/>
      <family val="2"/>
    </font>
    <font>
      <b/>
      <sz val="12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sz val="6"/>
      <name val="Calibri"/>
      <family val="2"/>
      <scheme val="minor"/>
    </font>
    <font>
      <sz val="6"/>
      <color rgb="FF000000"/>
      <name val="Arial"/>
      <family val="2"/>
    </font>
    <font>
      <b/>
      <sz val="6"/>
      <color rgb="FF000000"/>
      <name val="Arial"/>
      <family val="2"/>
    </font>
    <font>
      <sz val="6"/>
      <name val="Calibri"/>
      <family val="2"/>
      <scheme val="minor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9"/>
      <color rgb="FFC00000"/>
      <name val="Calibri"/>
      <family val="2"/>
    </font>
    <font>
      <b/>
      <sz val="9"/>
      <color rgb="FFFFC000"/>
      <name val="Calibri"/>
      <family val="2"/>
    </font>
    <font>
      <b/>
      <sz val="9"/>
      <color theme="9" tint="-0.249977111117893"/>
      <name val="Calibri"/>
      <family val="2"/>
    </font>
    <font>
      <b/>
      <sz val="9"/>
      <color theme="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B050"/>
      <name val="Calibri"/>
      <family val="2"/>
    </font>
    <font>
      <sz val="9"/>
      <color theme="1"/>
      <name val="Calibri"/>
      <family val="2"/>
      <scheme val="minor"/>
    </font>
    <font>
      <sz val="9"/>
      <color rgb="FFC00000"/>
      <name val="Calibri"/>
      <family val="2"/>
    </font>
    <font>
      <sz val="9"/>
      <color rgb="FFFFC000"/>
      <name val="Calibri"/>
      <family val="2"/>
    </font>
    <font>
      <b/>
      <sz val="9"/>
      <color rgb="FF7030A0"/>
      <name val="Calibri"/>
      <family val="2"/>
    </font>
    <font>
      <b/>
      <sz val="9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0" fillId="2" borderId="0" xfId="0" applyFill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/>
    <xf numFmtId="0" fontId="5" fillId="0" borderId="0" xfId="0" applyFont="1" applyAlignment="1">
      <alignment vertical="center"/>
    </xf>
    <xf numFmtId="164" fontId="9" fillId="0" borderId="0" xfId="0" applyNumberFormat="1" applyFont="1" applyAlignment="1">
      <alignment horizontal="center"/>
    </xf>
    <xf numFmtId="164" fontId="9" fillId="2" borderId="0" xfId="0" applyNumberFormat="1" applyFont="1" applyFill="1" applyAlignment="1">
      <alignment horizontal="center" vertical="center"/>
    </xf>
    <xf numFmtId="164" fontId="10" fillId="3" borderId="9" xfId="0" applyNumberFormat="1" applyFont="1" applyFill="1" applyBorder="1" applyAlignment="1">
      <alignment horizontal="center" vertical="center"/>
    </xf>
    <xf numFmtId="16" fontId="9" fillId="9" borderId="1" xfId="0" applyNumberFormat="1" applyFont="1" applyFill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 vertical="center" wrapText="1"/>
    </xf>
    <xf numFmtId="16" fontId="9" fillId="7" borderId="1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top" wrapText="1"/>
    </xf>
    <xf numFmtId="164" fontId="8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16" fontId="9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vertical="center"/>
    </xf>
    <xf numFmtId="0" fontId="9" fillId="7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9" borderId="14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16" fontId="9" fillId="8" borderId="16" xfId="0" applyNumberFormat="1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16" fontId="9" fillId="10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16" fontId="9" fillId="11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1" borderId="14" xfId="0" applyFont="1" applyFill="1" applyBorder="1" applyAlignment="1">
      <alignment horizontal="center" vertical="center" wrapText="1"/>
    </xf>
    <xf numFmtId="0" fontId="0" fillId="12" borderId="0" xfId="0" applyFill="1"/>
    <xf numFmtId="0" fontId="14" fillId="13" borderId="22" xfId="0" applyFont="1" applyFill="1" applyBorder="1" applyAlignment="1">
      <alignment horizontal="center" vertical="center" wrapText="1"/>
    </xf>
    <xf numFmtId="0" fontId="14" fillId="14" borderId="22" xfId="0" applyFont="1" applyFill="1" applyBorder="1" applyAlignment="1">
      <alignment horizontal="center" vertical="center" wrapText="1"/>
    </xf>
    <xf numFmtId="0" fontId="16" fillId="13" borderId="23" xfId="0" applyFont="1" applyFill="1" applyBorder="1" applyAlignment="1">
      <alignment horizontal="center" vertical="center" wrapText="1"/>
    </xf>
    <xf numFmtId="0" fontId="17" fillId="13" borderId="2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3" borderId="2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13" borderId="1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0" xfId="0" applyFill="1" applyAlignment="1">
      <alignment vertical="center"/>
    </xf>
    <xf numFmtId="0" fontId="0" fillId="12" borderId="0" xfId="0" applyFill="1" applyAlignment="1">
      <alignment horizontal="center" vertical="center"/>
    </xf>
    <xf numFmtId="0" fontId="21" fillId="15" borderId="26" xfId="0" applyFont="1" applyFill="1" applyBorder="1" applyAlignment="1">
      <alignment horizontal="center" vertical="center" wrapText="1"/>
    </xf>
    <xf numFmtId="0" fontId="21" fillId="15" borderId="25" xfId="0" applyFont="1" applyFill="1" applyBorder="1" applyAlignment="1">
      <alignment horizontal="center" vertical="center" wrapText="1"/>
    </xf>
    <xf numFmtId="0" fontId="24" fillId="15" borderId="2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15" borderId="2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5" borderId="2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5" borderId="1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5" borderId="25" xfId="0" applyFont="1" applyFill="1" applyBorder="1" applyAlignment="1">
      <alignment horizontal="center" vertical="center" wrapText="1"/>
    </xf>
    <xf numFmtId="0" fontId="20" fillId="15" borderId="26" xfId="0" applyFont="1" applyFill="1" applyBorder="1" applyAlignment="1">
      <alignment horizontal="center" vertical="center" wrapText="1"/>
    </xf>
    <xf numFmtId="0" fontId="23" fillId="12" borderId="28" xfId="0" applyFont="1" applyFill="1" applyBorder="1"/>
    <xf numFmtId="0" fontId="23" fillId="12" borderId="0" xfId="0" applyFont="1" applyFill="1"/>
    <xf numFmtId="0" fontId="23" fillId="12" borderId="0" xfId="0" applyFont="1" applyFill="1" applyAlignment="1">
      <alignment horizontal="center"/>
    </xf>
    <xf numFmtId="0" fontId="27" fillId="16" borderId="1" xfId="0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14" fillId="17" borderId="19" xfId="0" applyFont="1" applyFill="1" applyBorder="1" applyAlignment="1">
      <alignment horizontal="right" vertical="center" wrapText="1"/>
    </xf>
    <xf numFmtId="0" fontId="15" fillId="17" borderId="20" xfId="0" applyFont="1" applyFill="1" applyBorder="1" applyAlignment="1">
      <alignment vertical="center" wrapText="1"/>
    </xf>
    <xf numFmtId="0" fontId="15" fillId="17" borderId="21" xfId="0" applyFont="1" applyFill="1" applyBorder="1" applyAlignment="1">
      <alignment vertical="center" wrapText="1"/>
    </xf>
    <xf numFmtId="0" fontId="21" fillId="18" borderId="26" xfId="0" applyFont="1" applyFill="1" applyBorder="1" applyAlignment="1">
      <alignment horizontal="center" vertical="center" wrapText="1"/>
    </xf>
    <xf numFmtId="0" fontId="20" fillId="18" borderId="24" xfId="0" applyFont="1" applyFill="1" applyBorder="1" applyAlignment="1">
      <alignment horizontal="center" vertical="center" wrapText="1"/>
    </xf>
    <xf numFmtId="0" fontId="22" fillId="18" borderId="25" xfId="0" applyFont="1" applyFill="1" applyBorder="1" applyAlignment="1">
      <alignment horizontal="center" vertical="center" wrapText="1"/>
    </xf>
    <xf numFmtId="0" fontId="24" fillId="18" borderId="2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18" borderId="2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8" borderId="2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8" borderId="25" xfId="0" applyFont="1" applyFill="1" applyBorder="1" applyAlignment="1">
      <alignment horizontal="center" vertical="center" wrapText="1"/>
    </xf>
    <xf numFmtId="0" fontId="22" fillId="18" borderId="1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8" borderId="24" xfId="0" applyFont="1" applyFill="1" applyBorder="1" applyAlignment="1">
      <alignment horizontal="center" vertical="center" wrapText="1"/>
    </xf>
    <xf numFmtId="0" fontId="22" fillId="18" borderId="23" xfId="0" applyFont="1" applyFill="1" applyBorder="1" applyAlignment="1">
      <alignment horizontal="center" vertical="center" wrapText="1"/>
    </xf>
    <xf numFmtId="0" fontId="21" fillId="18" borderId="23" xfId="0" applyFont="1" applyFill="1" applyBorder="1" applyAlignment="1">
      <alignment horizontal="center" vertical="center" wrapText="1"/>
    </xf>
    <xf numFmtId="0" fontId="21" fillId="18" borderId="2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20" fillId="18" borderId="25" xfId="0" applyFont="1" applyFill="1" applyBorder="1" applyAlignment="1">
      <alignment horizontal="left" vertical="center" wrapText="1"/>
    </xf>
    <xf numFmtId="0" fontId="20" fillId="18" borderId="12" xfId="0" applyFont="1" applyFill="1" applyBorder="1" applyAlignment="1">
      <alignment horizontal="left" vertical="center" wrapText="1"/>
    </xf>
    <xf numFmtId="0" fontId="23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left" vertical="center"/>
    </xf>
    <xf numFmtId="0" fontId="20" fillId="15" borderId="25" xfId="0" applyFont="1" applyFill="1" applyBorder="1" applyAlignment="1">
      <alignment horizontal="left" vertical="center" wrapText="1"/>
    </xf>
    <xf numFmtId="0" fontId="20" fillId="15" borderId="12" xfId="0" applyFont="1" applyFill="1" applyBorder="1" applyAlignment="1">
      <alignment horizontal="left" vertical="center" wrapText="1"/>
    </xf>
    <xf numFmtId="0" fontId="23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left" vertical="center"/>
    </xf>
    <xf numFmtId="0" fontId="15" fillId="17" borderId="20" xfId="0" applyFont="1" applyFill="1" applyBorder="1" applyAlignment="1">
      <alignment horizontal="left" vertical="center" wrapText="1"/>
    </xf>
    <xf numFmtId="0" fontId="15" fillId="17" borderId="21" xfId="0" applyFont="1" applyFill="1" applyBorder="1" applyAlignment="1">
      <alignment horizontal="left" vertical="center" wrapText="1"/>
    </xf>
  </cellXfs>
  <cellStyles count="2">
    <cellStyle name="Normal" xfId="0" builtinId="0"/>
    <cellStyle name="Standaard 2" xfId="1" xr:uid="{6C061828-7177-4371-B359-8DC09589D478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147205</xdr:colOff>
      <xdr:row>1</xdr:row>
      <xdr:rowOff>95250</xdr:rowOff>
    </xdr:from>
    <xdr:to>
      <xdr:col>3</xdr:col>
      <xdr:colOff>172994</xdr:colOff>
      <xdr:row>2</xdr:row>
      <xdr:rowOff>111973</xdr:rowOff>
    </xdr:to>
    <xdr:pic>
      <xdr:nvPicPr>
        <xdr:cNvPr id="9" name="logo_first_p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155" y="177800"/>
          <a:ext cx="861483" cy="32152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opLeftCell="A10" zoomScale="145" zoomScaleNormal="145" workbookViewId="0">
      <selection activeCell="A5" sqref="A5"/>
    </sheetView>
  </sheetViews>
  <sheetFormatPr defaultColWidth="9.109375" defaultRowHeight="13.2" x14ac:dyDescent="0.25"/>
  <cols>
    <col min="1" max="1" width="1.5546875" customWidth="1"/>
    <col min="2" max="2" width="6.109375" customWidth="1"/>
    <col min="3" max="3" width="5.6640625" style="15" customWidth="1"/>
    <col min="4" max="4" width="16.109375" style="11" customWidth="1"/>
    <col min="5" max="5" width="5.6640625" style="15" customWidth="1"/>
    <col min="6" max="6" width="8.33203125" style="11" customWidth="1"/>
    <col min="7" max="7" width="5.6640625" style="15" customWidth="1"/>
    <col min="8" max="8" width="8.33203125" style="11" customWidth="1"/>
    <col min="9" max="9" width="5.6640625" style="15" customWidth="1"/>
    <col min="10" max="10" width="14.88671875" style="11" customWidth="1"/>
    <col min="11" max="11" width="5.6640625" style="15" customWidth="1"/>
    <col min="12" max="12" width="17.6640625" style="11" customWidth="1"/>
    <col min="13" max="13" width="1.6640625" customWidth="1"/>
    <col min="14" max="16" width="10.109375" bestFit="1" customWidth="1"/>
    <col min="17" max="17" width="47.6640625" customWidth="1"/>
    <col min="18" max="20" width="10.109375" bestFit="1" customWidth="1"/>
  </cols>
  <sheetData>
    <row r="1" spans="1:14" ht="6.75" customHeight="1" thickBot="1" x14ac:dyDescent="0.3"/>
    <row r="2" spans="1:14" ht="24.6" customHeight="1" x14ac:dyDescent="0.25">
      <c r="A2" s="1"/>
      <c r="B2" s="99" t="s">
        <v>0</v>
      </c>
      <c r="C2" s="100"/>
      <c r="D2" s="100"/>
      <c r="E2" s="100"/>
      <c r="F2" s="100"/>
      <c r="G2" s="100"/>
      <c r="H2" s="100"/>
      <c r="I2" s="100"/>
      <c r="J2" s="100"/>
      <c r="K2" s="100"/>
      <c r="L2" s="101"/>
    </row>
    <row r="3" spans="1:14" ht="16.5" customHeight="1" thickBot="1" x14ac:dyDescent="0.3">
      <c r="A3" s="1"/>
      <c r="B3" s="102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13.8" thickBot="1" x14ac:dyDescent="0.3">
      <c r="A4" s="1"/>
      <c r="B4" s="8" t="s">
        <v>1</v>
      </c>
      <c r="C4" s="16"/>
      <c r="D4" s="12"/>
      <c r="E4" s="16"/>
      <c r="F4" s="12"/>
      <c r="G4" s="16"/>
      <c r="H4" s="12"/>
      <c r="I4" s="16"/>
      <c r="J4" s="12"/>
      <c r="K4" s="16"/>
      <c r="L4" s="12"/>
    </row>
    <row r="5" spans="1:14" s="2" customFormat="1" ht="15.6" x14ac:dyDescent="0.2">
      <c r="A5" s="13"/>
      <c r="B5" s="38" t="s">
        <v>2</v>
      </c>
      <c r="C5" s="17" t="s">
        <v>3</v>
      </c>
      <c r="D5" s="28" t="s">
        <v>4</v>
      </c>
      <c r="E5" s="17" t="s">
        <v>3</v>
      </c>
      <c r="F5" s="28" t="s">
        <v>5</v>
      </c>
      <c r="G5" s="17" t="s">
        <v>3</v>
      </c>
      <c r="H5" s="28" t="s">
        <v>6</v>
      </c>
      <c r="I5" s="17" t="s">
        <v>3</v>
      </c>
      <c r="J5" s="28" t="s">
        <v>7</v>
      </c>
      <c r="K5" s="17" t="s">
        <v>3</v>
      </c>
      <c r="L5" s="29" t="s">
        <v>8</v>
      </c>
    </row>
    <row r="6" spans="1:14" s="2" customFormat="1" ht="9.6" x14ac:dyDescent="0.2">
      <c r="A6" s="13"/>
      <c r="B6" s="30">
        <v>10</v>
      </c>
      <c r="C6" s="18">
        <v>46125</v>
      </c>
      <c r="D6" s="31" t="s">
        <v>9</v>
      </c>
      <c r="E6" s="18">
        <v>46125</v>
      </c>
      <c r="F6" s="32"/>
      <c r="G6" s="18">
        <v>46126</v>
      </c>
      <c r="H6" s="33"/>
      <c r="I6" s="18">
        <v>46127</v>
      </c>
      <c r="J6" s="32"/>
      <c r="K6" s="18">
        <v>46128</v>
      </c>
      <c r="L6" s="39"/>
    </row>
    <row r="7" spans="1:14" s="2" customFormat="1" ht="24.75" customHeight="1" x14ac:dyDescent="0.2">
      <c r="A7" s="13"/>
      <c r="B7" s="30">
        <v>1</v>
      </c>
      <c r="C7" s="51">
        <v>46132</v>
      </c>
      <c r="D7" s="52" t="s">
        <v>15</v>
      </c>
      <c r="E7" s="19">
        <v>46133</v>
      </c>
      <c r="F7" s="25"/>
      <c r="G7" s="19">
        <v>46134</v>
      </c>
      <c r="H7" s="25"/>
      <c r="I7" s="51">
        <v>46135</v>
      </c>
      <c r="J7" s="52" t="s">
        <v>16</v>
      </c>
      <c r="K7" s="51">
        <v>46136</v>
      </c>
      <c r="L7" s="53" t="s">
        <v>31</v>
      </c>
    </row>
    <row r="8" spans="1:14" s="2" customFormat="1" ht="24.75" customHeight="1" x14ac:dyDescent="0.2">
      <c r="A8" s="13"/>
      <c r="B8" s="34"/>
      <c r="C8" s="20">
        <v>46139</v>
      </c>
      <c r="D8" s="26" t="s">
        <v>10</v>
      </c>
      <c r="E8" s="20">
        <v>46140</v>
      </c>
      <c r="F8" s="26"/>
      <c r="G8" s="20">
        <v>46141</v>
      </c>
      <c r="H8" s="26"/>
      <c r="I8" s="20">
        <v>46142</v>
      </c>
      <c r="J8" s="26"/>
      <c r="K8" s="20">
        <v>46143</v>
      </c>
      <c r="L8" s="40"/>
    </row>
    <row r="9" spans="1:14" s="2" customFormat="1" ht="24.75" customHeight="1" x14ac:dyDescent="0.2">
      <c r="A9" s="13"/>
      <c r="B9" s="34"/>
      <c r="C9" s="20">
        <v>46146</v>
      </c>
      <c r="D9" s="26"/>
      <c r="E9" s="20">
        <v>46147</v>
      </c>
      <c r="F9" s="26"/>
      <c r="G9" s="20">
        <v>46148</v>
      </c>
      <c r="H9" s="26"/>
      <c r="I9" s="20">
        <v>46149</v>
      </c>
      <c r="J9" s="26"/>
      <c r="K9" s="20">
        <v>46150</v>
      </c>
      <c r="L9" s="40"/>
      <c r="N9" s="14"/>
    </row>
    <row r="10" spans="1:14" s="2" customFormat="1" ht="24.75" customHeight="1" x14ac:dyDescent="0.2">
      <c r="B10" s="34">
        <v>2</v>
      </c>
      <c r="C10" s="57">
        <v>46153</v>
      </c>
      <c r="D10" s="58" t="s">
        <v>24</v>
      </c>
      <c r="E10" s="19">
        <v>46154</v>
      </c>
      <c r="F10" s="25"/>
      <c r="G10" s="19">
        <v>46155</v>
      </c>
      <c r="H10" s="25"/>
      <c r="I10" s="20">
        <v>46156</v>
      </c>
      <c r="J10" s="27" t="s">
        <v>11</v>
      </c>
      <c r="K10" s="20">
        <v>46157</v>
      </c>
      <c r="L10" s="41" t="s">
        <v>12</v>
      </c>
    </row>
    <row r="11" spans="1:14" s="2" customFormat="1" ht="24.75" customHeight="1" x14ac:dyDescent="0.2">
      <c r="A11" s="13"/>
      <c r="B11" s="34">
        <v>3</v>
      </c>
      <c r="C11" s="57">
        <v>46160</v>
      </c>
      <c r="D11" s="59" t="s">
        <v>20</v>
      </c>
      <c r="E11" s="19">
        <v>46161</v>
      </c>
      <c r="F11" s="25"/>
      <c r="G11" s="19">
        <v>46162</v>
      </c>
      <c r="H11" s="25"/>
      <c r="I11" s="57">
        <v>46163</v>
      </c>
      <c r="J11" s="59" t="s">
        <v>21</v>
      </c>
      <c r="K11" s="57">
        <v>46164</v>
      </c>
      <c r="L11" s="60" t="s">
        <v>22</v>
      </c>
    </row>
    <row r="12" spans="1:14" s="2" customFormat="1" ht="24.75" customHeight="1" x14ac:dyDescent="0.2">
      <c r="A12" s="13"/>
      <c r="B12" s="34">
        <v>4</v>
      </c>
      <c r="C12" s="20">
        <v>46167</v>
      </c>
      <c r="D12" s="26" t="s">
        <v>13</v>
      </c>
      <c r="E12" s="19">
        <v>46168</v>
      </c>
      <c r="F12" s="25"/>
      <c r="G12" s="19">
        <v>46169</v>
      </c>
      <c r="H12" s="25"/>
      <c r="I12" s="51">
        <v>46170</v>
      </c>
      <c r="J12" s="54" t="s">
        <v>25</v>
      </c>
      <c r="K12" s="51">
        <v>46171</v>
      </c>
      <c r="L12" s="53" t="s">
        <v>26</v>
      </c>
    </row>
    <row r="13" spans="1:14" s="2" customFormat="1" ht="24.75" customHeight="1" x14ac:dyDescent="0.2">
      <c r="A13" s="13"/>
      <c r="B13" s="34">
        <v>5</v>
      </c>
      <c r="C13" s="51">
        <v>46174</v>
      </c>
      <c r="D13" s="54" t="s">
        <v>17</v>
      </c>
      <c r="E13" s="19">
        <v>46175</v>
      </c>
      <c r="F13" s="43"/>
      <c r="G13" s="19">
        <v>46176</v>
      </c>
      <c r="H13" s="25"/>
      <c r="I13" s="51">
        <v>46177</v>
      </c>
      <c r="J13" s="55" t="s">
        <v>27</v>
      </c>
      <c r="K13" s="51">
        <v>46178</v>
      </c>
      <c r="L13" s="56" t="s">
        <v>23</v>
      </c>
    </row>
    <row r="14" spans="1:14" s="2" customFormat="1" ht="24.75" customHeight="1" x14ac:dyDescent="0.2">
      <c r="A14" s="13"/>
      <c r="B14" s="34">
        <v>6</v>
      </c>
      <c r="C14" s="51">
        <v>46181</v>
      </c>
      <c r="D14" s="54" t="s">
        <v>29</v>
      </c>
      <c r="E14" s="19">
        <v>46182</v>
      </c>
      <c r="F14" s="25"/>
      <c r="G14" s="19">
        <v>46183</v>
      </c>
      <c r="H14" s="25"/>
      <c r="I14" s="51">
        <v>46184</v>
      </c>
      <c r="J14" s="54" t="s">
        <v>28</v>
      </c>
      <c r="K14" s="51">
        <v>46185</v>
      </c>
      <c r="L14" s="56" t="s">
        <v>30</v>
      </c>
    </row>
    <row r="15" spans="1:14" s="2" customFormat="1" ht="24.75" customHeight="1" x14ac:dyDescent="0.2">
      <c r="A15" s="13"/>
      <c r="B15" s="34">
        <v>7</v>
      </c>
      <c r="C15" s="51">
        <v>46188</v>
      </c>
      <c r="D15" s="55" t="s">
        <v>32</v>
      </c>
      <c r="E15" s="19">
        <v>46189</v>
      </c>
      <c r="F15" s="25"/>
      <c r="G15" s="19">
        <v>46190</v>
      </c>
      <c r="H15" s="25"/>
      <c r="I15" s="51">
        <v>46191</v>
      </c>
      <c r="J15" s="54" t="s">
        <v>18</v>
      </c>
      <c r="K15" s="51">
        <v>46192</v>
      </c>
      <c r="L15" s="53" t="s">
        <v>19</v>
      </c>
    </row>
    <row r="16" spans="1:14" s="2" customFormat="1" ht="10.199999999999999" thickBot="1" x14ac:dyDescent="0.25">
      <c r="A16" s="13"/>
      <c r="B16" s="42">
        <v>8</v>
      </c>
      <c r="C16" s="18">
        <v>46195</v>
      </c>
      <c r="D16" s="31" t="s">
        <v>9</v>
      </c>
      <c r="E16" s="18">
        <v>46196</v>
      </c>
      <c r="F16" s="32"/>
      <c r="G16" s="18">
        <v>46197</v>
      </c>
      <c r="H16" s="32"/>
      <c r="I16" s="18">
        <v>46198</v>
      </c>
      <c r="J16" s="32"/>
      <c r="K16" s="18">
        <v>46199</v>
      </c>
      <c r="L16" s="44"/>
      <c r="N16" s="14"/>
    </row>
    <row r="17" spans="1:13" s="2" customFormat="1" ht="9.6" x14ac:dyDescent="0.2">
      <c r="A17" s="13"/>
      <c r="B17" s="35">
        <v>9</v>
      </c>
      <c r="C17" s="36">
        <v>46202</v>
      </c>
      <c r="D17" s="37"/>
      <c r="E17" s="36">
        <v>46203</v>
      </c>
      <c r="F17" s="37"/>
      <c r="G17" s="36">
        <v>46204</v>
      </c>
      <c r="H17" s="37"/>
      <c r="I17" s="36">
        <v>46205</v>
      </c>
      <c r="J17" s="37"/>
      <c r="K17" s="36">
        <v>46206</v>
      </c>
      <c r="L17" s="45"/>
    </row>
    <row r="18" spans="1:13" s="2" customFormat="1" ht="9.6" x14ac:dyDescent="0.2">
      <c r="B18" s="34">
        <v>10</v>
      </c>
      <c r="C18" s="19">
        <v>46209</v>
      </c>
      <c r="D18" s="25"/>
      <c r="E18" s="19">
        <v>46210</v>
      </c>
      <c r="F18" s="25"/>
      <c r="G18" s="19">
        <v>46211</v>
      </c>
      <c r="H18" s="25"/>
      <c r="I18" s="19">
        <v>46212</v>
      </c>
      <c r="J18" s="25"/>
      <c r="K18" s="19">
        <v>46213</v>
      </c>
      <c r="L18" s="46"/>
    </row>
    <row r="19" spans="1:13" s="2" customFormat="1" ht="10.199999999999999" thickBot="1" x14ac:dyDescent="0.25">
      <c r="A19" s="13"/>
      <c r="B19" s="47">
        <f t="shared" ref="B19" si="0">B18+1</f>
        <v>11</v>
      </c>
      <c r="C19" s="48">
        <v>46216</v>
      </c>
      <c r="D19" s="49" t="s">
        <v>14</v>
      </c>
      <c r="E19" s="48">
        <v>46217</v>
      </c>
      <c r="F19" s="49" t="s">
        <v>14</v>
      </c>
      <c r="G19" s="48">
        <v>46218</v>
      </c>
      <c r="H19" s="49" t="s">
        <v>14</v>
      </c>
      <c r="I19" s="48">
        <v>46219</v>
      </c>
      <c r="J19" s="49" t="s">
        <v>14</v>
      </c>
      <c r="K19" s="48">
        <v>46220</v>
      </c>
      <c r="L19" s="50" t="s">
        <v>14</v>
      </c>
    </row>
    <row r="20" spans="1:13" ht="12.75" customHeight="1" x14ac:dyDescent="0.25">
      <c r="A20" s="2"/>
      <c r="B20" s="3"/>
      <c r="C20" s="21"/>
      <c r="D20" s="9"/>
      <c r="E20" s="21"/>
      <c r="F20" s="9"/>
      <c r="G20" s="21"/>
      <c r="H20" s="9"/>
      <c r="I20" s="24"/>
      <c r="J20" s="9"/>
      <c r="K20" s="21"/>
      <c r="L20" s="9"/>
    </row>
    <row r="21" spans="1:13" x14ac:dyDescent="0.25">
      <c r="B21" s="4"/>
      <c r="D21" s="10"/>
      <c r="E21" s="23"/>
      <c r="F21" s="10"/>
      <c r="G21" s="23"/>
      <c r="H21" s="10"/>
      <c r="I21" s="23"/>
      <c r="J21" s="10"/>
      <c r="K21" s="23"/>
      <c r="L21" s="10"/>
      <c r="M21" s="5"/>
    </row>
    <row r="22" spans="1:13" s="7" customFormat="1" x14ac:dyDescent="0.25">
      <c r="B22" s="4"/>
      <c r="C22" s="22"/>
      <c r="D22" s="9"/>
      <c r="E22" s="21"/>
      <c r="F22" s="9"/>
      <c r="G22" s="21"/>
      <c r="H22" s="9"/>
      <c r="I22" s="21"/>
      <c r="J22" s="9"/>
      <c r="K22" s="21"/>
      <c r="L22" s="9"/>
    </row>
    <row r="23" spans="1:13" ht="15" x14ac:dyDescent="0.25">
      <c r="B23" s="6"/>
      <c r="D23" s="10"/>
      <c r="E23" s="23"/>
      <c r="F23" s="10"/>
      <c r="G23" s="23"/>
      <c r="H23" s="10"/>
      <c r="I23" s="23"/>
      <c r="J23" s="10"/>
      <c r="K23" s="23"/>
      <c r="L23" s="10"/>
    </row>
  </sheetData>
  <mergeCells count="1">
    <mergeCell ref="B2:L3"/>
  </mergeCells>
  <phoneticPr fontId="4" type="noConversion"/>
  <printOptions horizontalCentered="1" verticalCentered="1" gridLines="1"/>
  <pageMargins left="0.23622047244094491" right="0.23622047244094491" top="0.74803149606299213" bottom="0.74803149606299213" header="0.31496062992125984" footer="0.31496062992125984"/>
  <pageSetup paperSize="9" scale="125" fitToWidth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09FD-D214-4052-8430-999078FE1549}">
  <dimension ref="B2:H26"/>
  <sheetViews>
    <sheetView tabSelected="1" topLeftCell="A6" zoomScale="115" zoomScaleNormal="115" workbookViewId="0">
      <selection activeCell="F30" sqref="F30"/>
    </sheetView>
  </sheetViews>
  <sheetFormatPr defaultColWidth="8.6640625" defaultRowHeight="13.2" x14ac:dyDescent="0.25"/>
  <cols>
    <col min="1" max="1" width="2.44140625" style="61" customWidth="1"/>
    <col min="2" max="2" width="17.5546875" style="61" bestFit="1" customWidth="1"/>
    <col min="3" max="3" width="10.88671875" style="61" hidden="1" customWidth="1"/>
    <col min="4" max="4" width="38.88671875" style="83" customWidth="1"/>
    <col min="5" max="5" width="42.6640625" style="83" customWidth="1"/>
    <col min="6" max="6" width="43.33203125" style="83" customWidth="1"/>
    <col min="7" max="7" width="6.5546875" style="61" customWidth="1"/>
    <col min="8" max="8" width="56.109375" style="61" customWidth="1"/>
    <col min="9" max="16384" width="8.6640625" style="61"/>
  </cols>
  <sheetData>
    <row r="2" spans="2:8" ht="14.1" customHeight="1" x14ac:dyDescent="0.25">
      <c r="B2" s="84" t="s">
        <v>33</v>
      </c>
      <c r="C2" s="113" t="s">
        <v>34</v>
      </c>
      <c r="D2" s="114"/>
      <c r="E2" s="84" t="s">
        <v>35</v>
      </c>
      <c r="F2" s="85" t="s">
        <v>36</v>
      </c>
      <c r="G2" s="85"/>
      <c r="H2" s="86"/>
    </row>
    <row r="3" spans="2:8" x14ac:dyDescent="0.25">
      <c r="B3" s="62" t="s">
        <v>37</v>
      </c>
      <c r="C3" s="63" t="s">
        <v>38</v>
      </c>
      <c r="D3" s="64" t="s">
        <v>39</v>
      </c>
      <c r="E3" s="65" t="s">
        <v>40</v>
      </c>
      <c r="F3" s="66" t="s">
        <v>41</v>
      </c>
      <c r="G3" s="67" t="s">
        <v>42</v>
      </c>
      <c r="H3" s="67" t="s">
        <v>43</v>
      </c>
    </row>
    <row r="4" spans="2:8" s="68" customFormat="1" ht="24" x14ac:dyDescent="0.25">
      <c r="B4" s="105" t="s">
        <v>44</v>
      </c>
      <c r="C4" s="87" t="s">
        <v>38</v>
      </c>
      <c r="D4" s="88" t="s">
        <v>45</v>
      </c>
      <c r="E4" s="88" t="s">
        <v>46</v>
      </c>
      <c r="F4" s="89" t="s">
        <v>47</v>
      </c>
      <c r="G4" s="107">
        <f>IF(C5=TRUE,0,IF(D5=TRUE,1,IF(E5=TRUE,2,IF(F5=TRUE,3,"leeg"))))</f>
        <v>2</v>
      </c>
      <c r="H4" s="108"/>
    </row>
    <row r="5" spans="2:8" s="69" customFormat="1" x14ac:dyDescent="0.25">
      <c r="B5" s="106"/>
      <c r="C5" s="90" t="b">
        <v>0</v>
      </c>
      <c r="D5" s="90" t="b">
        <v>0</v>
      </c>
      <c r="E5" s="91" t="b">
        <v>1</v>
      </c>
      <c r="F5" s="92" t="b">
        <v>0</v>
      </c>
      <c r="G5" s="107"/>
      <c r="H5" s="108"/>
    </row>
    <row r="6" spans="2:8" s="68" customFormat="1" ht="15" customHeight="1" x14ac:dyDescent="0.25">
      <c r="B6" s="109" t="s">
        <v>48</v>
      </c>
      <c r="C6" s="70" t="s">
        <v>38</v>
      </c>
      <c r="D6" s="70" t="s">
        <v>49</v>
      </c>
      <c r="E6" s="70" t="s">
        <v>50</v>
      </c>
      <c r="F6" s="71" t="s">
        <v>51</v>
      </c>
      <c r="G6" s="111">
        <f t="shared" ref="G6" si="0">IF(C7=TRUE,0,IF(D7=TRUE,1,IF(E7=TRUE,2,IF(F7=TRUE,3,"leeg"))))</f>
        <v>2</v>
      </c>
      <c r="H6" s="112"/>
    </row>
    <row r="7" spans="2:8" s="68" customFormat="1" x14ac:dyDescent="0.25">
      <c r="B7" s="110"/>
      <c r="C7" s="72" t="b">
        <v>0</v>
      </c>
      <c r="D7" s="72" t="b">
        <v>0</v>
      </c>
      <c r="E7" s="73" t="b">
        <v>1</v>
      </c>
      <c r="F7" s="74" t="b">
        <v>0</v>
      </c>
      <c r="G7" s="111"/>
      <c r="H7" s="112"/>
    </row>
    <row r="8" spans="2:8" s="68" customFormat="1" ht="24" x14ac:dyDescent="0.25">
      <c r="B8" s="105" t="s">
        <v>52</v>
      </c>
      <c r="C8" s="87" t="s">
        <v>38</v>
      </c>
      <c r="D8" s="88" t="s">
        <v>53</v>
      </c>
      <c r="E8" s="88" t="s">
        <v>54</v>
      </c>
      <c r="F8" s="93" t="s">
        <v>55</v>
      </c>
      <c r="G8" s="107">
        <f t="shared" ref="G8" si="1">IF(C9=TRUE,0,IF(D9=TRUE,1,IF(E9=TRUE,2,IF(F9=TRUE,3,"leeg"))))</f>
        <v>3</v>
      </c>
      <c r="H8" s="108"/>
    </row>
    <row r="9" spans="2:8" s="68" customFormat="1" x14ac:dyDescent="0.25">
      <c r="B9" s="106"/>
      <c r="C9" s="90" t="b">
        <v>0</v>
      </c>
      <c r="D9" s="90" t="b">
        <v>0</v>
      </c>
      <c r="E9" s="91" t="b">
        <v>0</v>
      </c>
      <c r="F9" s="94" t="b">
        <v>1</v>
      </c>
      <c r="G9" s="107"/>
      <c r="H9" s="108"/>
    </row>
    <row r="10" spans="2:8" s="68" customFormat="1" ht="24" x14ac:dyDescent="0.25">
      <c r="B10" s="109" t="s">
        <v>56</v>
      </c>
      <c r="C10" s="70" t="s">
        <v>38</v>
      </c>
      <c r="D10" s="70" t="s">
        <v>57</v>
      </c>
      <c r="E10" s="70" t="s">
        <v>58</v>
      </c>
      <c r="F10" s="71" t="s">
        <v>59</v>
      </c>
      <c r="G10" s="111">
        <f t="shared" ref="G10" si="2">IF(C11=TRUE,0,IF(D11=TRUE,1,IF(E11=TRUE,2,IF(F11=TRUE,3,"leeg"))))</f>
        <v>2</v>
      </c>
      <c r="H10" s="112"/>
    </row>
    <row r="11" spans="2:8" s="68" customFormat="1" x14ac:dyDescent="0.25">
      <c r="B11" s="110"/>
      <c r="C11" s="72" t="b">
        <v>0</v>
      </c>
      <c r="D11" s="72" t="b">
        <v>0</v>
      </c>
      <c r="E11" s="73" t="b">
        <v>1</v>
      </c>
      <c r="F11" s="75" t="b">
        <v>0</v>
      </c>
      <c r="G11" s="111"/>
      <c r="H11" s="112"/>
    </row>
    <row r="12" spans="2:8" s="68" customFormat="1" x14ac:dyDescent="0.25">
      <c r="B12" s="105" t="s">
        <v>60</v>
      </c>
      <c r="C12" s="87" t="s">
        <v>38</v>
      </c>
      <c r="D12" s="95" t="s">
        <v>61</v>
      </c>
      <c r="E12" s="95" t="s">
        <v>62</v>
      </c>
      <c r="F12" s="96" t="s">
        <v>63</v>
      </c>
      <c r="G12" s="107">
        <f t="shared" ref="G12" si="3">IF(C13=TRUE,0,IF(D13=TRUE,1,IF(E13=TRUE,2,IF(F13=TRUE,3,"leeg"))))</f>
        <v>2</v>
      </c>
      <c r="H12" s="108"/>
    </row>
    <row r="13" spans="2:8" s="68" customFormat="1" x14ac:dyDescent="0.25">
      <c r="B13" s="106"/>
      <c r="C13" s="90" t="b">
        <v>0</v>
      </c>
      <c r="D13" s="90" t="b">
        <v>0</v>
      </c>
      <c r="E13" s="91" t="b">
        <v>1</v>
      </c>
      <c r="F13" s="92" t="b">
        <v>0</v>
      </c>
      <c r="G13" s="107"/>
      <c r="H13" s="108"/>
    </row>
    <row r="14" spans="2:8" s="68" customFormat="1" x14ac:dyDescent="0.25">
      <c r="B14" s="109" t="s">
        <v>64</v>
      </c>
      <c r="C14" s="70" t="s">
        <v>38</v>
      </c>
      <c r="D14" s="70" t="s">
        <v>65</v>
      </c>
      <c r="E14" s="70" t="s">
        <v>66</v>
      </c>
      <c r="F14" s="76" t="s">
        <v>67</v>
      </c>
      <c r="G14" s="111">
        <f t="shared" ref="G14" si="4">IF(C15=TRUE,0,IF(D15=TRUE,1,IF(E15=TRUE,2,IF(F15=TRUE,3,"leeg"))))</f>
        <v>2</v>
      </c>
      <c r="H14" s="112"/>
    </row>
    <row r="15" spans="2:8" s="68" customFormat="1" x14ac:dyDescent="0.25">
      <c r="B15" s="110"/>
      <c r="C15" s="72" t="b">
        <v>0</v>
      </c>
      <c r="D15" s="72" t="b">
        <v>0</v>
      </c>
      <c r="E15" s="73" t="b">
        <v>1</v>
      </c>
      <c r="F15" s="75" t="b">
        <v>0</v>
      </c>
      <c r="G15" s="111"/>
      <c r="H15" s="112"/>
    </row>
    <row r="16" spans="2:8" s="68" customFormat="1" x14ac:dyDescent="0.25">
      <c r="B16" s="105" t="s">
        <v>68</v>
      </c>
      <c r="C16" s="87" t="s">
        <v>38</v>
      </c>
      <c r="D16" s="95" t="s">
        <v>65</v>
      </c>
      <c r="E16" s="95" t="s">
        <v>66</v>
      </c>
      <c r="F16" s="96" t="s">
        <v>69</v>
      </c>
      <c r="G16" s="107">
        <f t="shared" ref="G16" si="5">IF(C17=TRUE,0,IF(D17=TRUE,1,IF(E17=TRUE,2,IF(F17=TRUE,3,"leeg"))))</f>
        <v>2</v>
      </c>
      <c r="H16" s="108"/>
    </row>
    <row r="17" spans="2:8" s="68" customFormat="1" x14ac:dyDescent="0.25">
      <c r="B17" s="106"/>
      <c r="C17" s="90" t="b">
        <v>0</v>
      </c>
      <c r="D17" s="90" t="b">
        <v>0</v>
      </c>
      <c r="E17" s="91" t="b">
        <v>1</v>
      </c>
      <c r="F17" s="92" t="b">
        <v>0</v>
      </c>
      <c r="G17" s="107"/>
      <c r="H17" s="108"/>
    </row>
    <row r="18" spans="2:8" s="68" customFormat="1" x14ac:dyDescent="0.25">
      <c r="B18" s="109" t="s">
        <v>70</v>
      </c>
      <c r="C18" s="70" t="s">
        <v>38</v>
      </c>
      <c r="D18" s="70" t="s">
        <v>65</v>
      </c>
      <c r="E18" s="70" t="s">
        <v>66</v>
      </c>
      <c r="F18" s="76" t="s">
        <v>69</v>
      </c>
      <c r="G18" s="111">
        <f t="shared" ref="G18" si="6">IF(C19=TRUE,0,IF(D19=TRUE,1,IF(E19=TRUE,2,IF(F19=TRUE,3,"leeg"))))</f>
        <v>2</v>
      </c>
      <c r="H18" s="112"/>
    </row>
    <row r="19" spans="2:8" s="68" customFormat="1" x14ac:dyDescent="0.25">
      <c r="B19" s="110"/>
      <c r="C19" s="72" t="b">
        <v>0</v>
      </c>
      <c r="D19" s="72" t="b">
        <v>0</v>
      </c>
      <c r="E19" s="73" t="b">
        <v>1</v>
      </c>
      <c r="F19" s="75" t="b">
        <v>0</v>
      </c>
      <c r="G19" s="111"/>
      <c r="H19" s="112"/>
    </row>
    <row r="20" spans="2:8" s="68" customFormat="1" ht="24" x14ac:dyDescent="0.25">
      <c r="B20" s="105" t="s">
        <v>71</v>
      </c>
      <c r="C20" s="87" t="s">
        <v>38</v>
      </c>
      <c r="D20" s="95" t="s">
        <v>72</v>
      </c>
      <c r="E20" s="95" t="s">
        <v>73</v>
      </c>
      <c r="F20" s="97" t="s">
        <v>74</v>
      </c>
      <c r="G20" s="107">
        <f t="shared" ref="G20" si="7">IF(C21=TRUE,0,IF(D21=TRUE,1,IF(E21=TRUE,2,IF(F21=TRUE,3,"leeg"))))</f>
        <v>2</v>
      </c>
      <c r="H20" s="108"/>
    </row>
    <row r="21" spans="2:8" s="68" customFormat="1" x14ac:dyDescent="0.25">
      <c r="B21" s="106"/>
      <c r="C21" s="90" t="b">
        <v>0</v>
      </c>
      <c r="D21" s="90" t="b">
        <v>0</v>
      </c>
      <c r="E21" s="91" t="b">
        <v>1</v>
      </c>
      <c r="F21" s="92" t="b">
        <v>0</v>
      </c>
      <c r="G21" s="107"/>
      <c r="H21" s="108"/>
    </row>
    <row r="22" spans="2:8" s="68" customFormat="1" ht="24" x14ac:dyDescent="0.25">
      <c r="B22" s="109" t="s">
        <v>75</v>
      </c>
      <c r="C22" s="70" t="s">
        <v>38</v>
      </c>
      <c r="D22" s="77" t="s">
        <v>76</v>
      </c>
      <c r="E22" s="70" t="s">
        <v>77</v>
      </c>
      <c r="F22" s="71" t="s">
        <v>78</v>
      </c>
      <c r="G22" s="111">
        <f t="shared" ref="G22" si="8">IF(C23=TRUE,0,IF(D23=TRUE,1,IF(E23=TRUE,2,IF(F23=TRUE,3,"leeg"))))</f>
        <v>3</v>
      </c>
      <c r="H22" s="112"/>
    </row>
    <row r="23" spans="2:8" s="68" customFormat="1" x14ac:dyDescent="0.25">
      <c r="B23" s="110"/>
      <c r="C23" s="72" t="b">
        <v>0</v>
      </c>
      <c r="D23" s="72" t="b">
        <v>0</v>
      </c>
      <c r="E23" s="73" t="b">
        <v>0</v>
      </c>
      <c r="F23" s="74" t="b">
        <v>1</v>
      </c>
      <c r="G23" s="111"/>
      <c r="H23" s="112"/>
    </row>
    <row r="24" spans="2:8" s="68" customFormat="1" x14ac:dyDescent="0.25">
      <c r="B24" s="105" t="s">
        <v>79</v>
      </c>
      <c r="C24" s="87" t="s">
        <v>38</v>
      </c>
      <c r="D24" s="87" t="s">
        <v>80</v>
      </c>
      <c r="E24" s="98" t="s">
        <v>81</v>
      </c>
      <c r="F24" s="98" t="s">
        <v>82</v>
      </c>
      <c r="G24" s="107">
        <f t="shared" ref="G24" si="9">IF(C25=TRUE,0,IF(D25=TRUE,1,IF(E25=TRUE,2,IF(F25=TRUE,3,"leeg"))))</f>
        <v>2</v>
      </c>
      <c r="H24" s="108"/>
    </row>
    <row r="25" spans="2:8" s="68" customFormat="1" x14ac:dyDescent="0.25">
      <c r="B25" s="106"/>
      <c r="C25" s="90" t="b">
        <v>0</v>
      </c>
      <c r="D25" s="90" t="b">
        <v>0</v>
      </c>
      <c r="E25" s="91" t="b">
        <v>1</v>
      </c>
      <c r="F25" s="92" t="b">
        <v>0</v>
      </c>
      <c r="G25" s="107"/>
      <c r="H25" s="108"/>
    </row>
    <row r="26" spans="2:8" ht="27.6" customHeight="1" x14ac:dyDescent="0.25">
      <c r="B26" s="78"/>
      <c r="C26" s="79"/>
      <c r="D26" s="80"/>
      <c r="E26" s="80"/>
      <c r="F26" s="81" t="s">
        <v>83</v>
      </c>
      <c r="G26" s="82" t="str">
        <f>IF(COUNTIFS(G4:G25,"leeg")&gt;0," ",IF(COUNTIFS(G4:G25,0)&gt;0,"O",IF(COUNTIFS(G4:G25,1)&gt;0,"O",IF(COUNTIFS(G4:G25,3)&gt;7,"G","V"))))</f>
        <v>V</v>
      </c>
      <c r="H26" s="79"/>
    </row>
  </sheetData>
  <mergeCells count="34">
    <mergeCell ref="C2:D2"/>
    <mergeCell ref="B4:B5"/>
    <mergeCell ref="G4:G5"/>
    <mergeCell ref="H4:H5"/>
    <mergeCell ref="B6:B7"/>
    <mergeCell ref="G6:G7"/>
    <mergeCell ref="H6:H7"/>
    <mergeCell ref="B8:B9"/>
    <mergeCell ref="G8:G9"/>
    <mergeCell ref="H8:H9"/>
    <mergeCell ref="B10:B11"/>
    <mergeCell ref="G10:G11"/>
    <mergeCell ref="H10:H11"/>
    <mergeCell ref="B12:B13"/>
    <mergeCell ref="G12:G13"/>
    <mergeCell ref="H12:H13"/>
    <mergeCell ref="B14:B15"/>
    <mergeCell ref="G14:G15"/>
    <mergeCell ref="H14:H15"/>
    <mergeCell ref="B16:B17"/>
    <mergeCell ref="G16:G17"/>
    <mergeCell ref="H16:H17"/>
    <mergeCell ref="B18:B19"/>
    <mergeCell ref="G18:G19"/>
    <mergeCell ref="H18:H19"/>
    <mergeCell ref="B24:B25"/>
    <mergeCell ref="G24:G25"/>
    <mergeCell ref="H24:H25"/>
    <mergeCell ref="B20:B21"/>
    <mergeCell ref="G20:G21"/>
    <mergeCell ref="H20:H21"/>
    <mergeCell ref="B22:B23"/>
    <mergeCell ref="G22:G23"/>
    <mergeCell ref="H22:H23"/>
  </mergeCells>
  <conditionalFormatting sqref="G26">
    <cfRule type="cellIs" dxfId="2" priority="1" operator="equal">
      <formula>"V"</formula>
    </cfRule>
    <cfRule type="cellIs" dxfId="1" priority="2" operator="equal">
      <formula>"G"</formula>
    </cfRule>
    <cfRule type="cellIs" dxfId="0" priority="3" operator="equal">
      <formula>"o"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df7ced-9c7a-48f8-a07c-98a598b105da">
      <Terms xmlns="http://schemas.microsoft.com/office/infopath/2007/PartnerControls"/>
    </lcf76f155ced4ddcb4097134ff3c332f>
    <TaxCatchAll xmlns="008856c5-5e82-4bb2-b94b-d933afeebe23" xsi:nil="true"/>
    <ReferenceId xmlns="fedf7ced-9c7a-48f8-a07c-98a598b105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37556A21C5704FADE0E77F73F01C11" ma:contentTypeVersion="11" ma:contentTypeDescription="Een nieuw document maken." ma:contentTypeScope="" ma:versionID="432f9c95925836925e153c50867c4655">
  <xsd:schema xmlns:xsd="http://www.w3.org/2001/XMLSchema" xmlns:xs="http://www.w3.org/2001/XMLSchema" xmlns:p="http://schemas.microsoft.com/office/2006/metadata/properties" xmlns:ns2="fedf7ced-9c7a-48f8-a07c-98a598b105da" xmlns:ns3="008856c5-5e82-4bb2-b94b-d933afeebe23" targetNamespace="http://schemas.microsoft.com/office/2006/metadata/properties" ma:root="true" ma:fieldsID="c13472ed60a2f699e077c98817263639" ns2:_="" ns3:_="">
    <xsd:import namespace="fedf7ced-9c7a-48f8-a07c-98a598b105da"/>
    <xsd:import namespace="008856c5-5e82-4bb2-b94b-d933afeebe2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f7ced-9c7a-48f8-a07c-98a598b105d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913d8191-1fa0-4b0e-82ea-9b3ed889c5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8856c5-5e82-4bb2-b94b-d933afeebe2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dc0fe0d-9128-4420-8534-3a95902df360}" ma:internalName="TaxCatchAll" ma:showField="CatchAllData" ma:web="008856c5-5e82-4bb2-b94b-d933afeebe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D17981-A18F-4D0D-81EF-1093232EB82C}">
  <ds:schemaRefs>
    <ds:schemaRef ds:uri="http://schemas.microsoft.com/office/2006/metadata/properties"/>
    <ds:schemaRef ds:uri="http://schemas.microsoft.com/office/infopath/2007/PartnerControls"/>
    <ds:schemaRef ds:uri="094ecc41-7a37-40c9-8390-f18431712098"/>
    <ds:schemaRef ds:uri="32dd6115-ce5d-46b4-b638-9e7d5ca6cbee"/>
    <ds:schemaRef ds:uri="fedf7ced-9c7a-48f8-a07c-98a598b105da"/>
    <ds:schemaRef ds:uri="008856c5-5e82-4bb2-b94b-d933afeebe23"/>
  </ds:schemaRefs>
</ds:datastoreItem>
</file>

<file path=customXml/itemProps2.xml><?xml version="1.0" encoding="utf-8"?>
<ds:datastoreItem xmlns:ds="http://schemas.openxmlformats.org/officeDocument/2006/customXml" ds:itemID="{6B4AB550-864F-4778-A255-37767FF6E8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df7ced-9c7a-48f8-a07c-98a598b105da"/>
    <ds:schemaRef ds:uri="008856c5-5e82-4bb2-b94b-d933afeebe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955E41-5EBA-4849-A6EC-932D8CFA15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Planning</vt:lpstr>
      <vt:lpstr>Rubrics</vt:lpstr>
      <vt:lpstr>Planning!Print_Area</vt:lpstr>
    </vt:vector>
  </TitlesOfParts>
  <Manager/>
  <Company>ROC van Twente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pme01</dc:creator>
  <cp:keywords/>
  <dc:description/>
  <cp:lastModifiedBy>Fleur Spannenberg</cp:lastModifiedBy>
  <cp:revision/>
  <dcterms:created xsi:type="dcterms:W3CDTF">2013-02-04T12:51:03Z</dcterms:created>
  <dcterms:modified xsi:type="dcterms:W3CDTF">2026-06-19T09:54:55Z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0x010100F037556A21C5704FADE0E77F73F01C11</vt:lpwstr>
  </property>
  <property fmtid="{D5CDD505-2E9C-101B-9397-08002B2CF9AE}" pid="3" name="MediaServiceImageTags">
    <vt:lpwstr/>
  </property>
</Properties>
</file>